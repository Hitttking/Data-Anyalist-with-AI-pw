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W data anyalist\assignment 1\"/>
    </mc:Choice>
  </mc:AlternateContent>
  <xr:revisionPtr revIDLastSave="0" documentId="8_{A53525B6-E489-4FD8-B766-96118184ED27}" xr6:coauthVersionLast="47" xr6:coauthVersionMax="47" xr10:uidLastSave="{00000000-0000-0000-0000-000000000000}"/>
  <bookViews>
    <workbookView xWindow="-108" yWindow="-108" windowWidth="23256" windowHeight="12456" activeTab="7" xr2:uid="{BCC69411-AFEA-4E26-8B97-4BF940DE3902}"/>
  </bookViews>
  <sheets>
    <sheet name="Answer-1" sheetId="1" r:id="rId1"/>
    <sheet name="Answer-2" sheetId="2" r:id="rId2"/>
    <sheet name="Answer-3" sheetId="3" r:id="rId3"/>
    <sheet name="Answer-4" sheetId="4" r:id="rId4"/>
    <sheet name="Answer-5" sheetId="5" r:id="rId5"/>
    <sheet name="Answer-6" sheetId="6" r:id="rId6"/>
    <sheet name="Answer-7" sheetId="7" r:id="rId7"/>
    <sheet name="Amswer-8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8" l="1"/>
  <c r="G7" i="7" a="1"/>
  <c r="G7" i="7"/>
  <c r="F10" i="6"/>
  <c r="F11" i="6"/>
  <c r="F9" i="6"/>
  <c r="G10" i="5"/>
  <c r="J9" i="4"/>
  <c r="E10" i="3"/>
  <c r="E11" i="3"/>
  <c r="E12" i="3"/>
  <c r="E13" i="3"/>
  <c r="E9" i="3"/>
  <c r="F7" i="2"/>
  <c r="F8" i="2"/>
  <c r="F9" i="2"/>
  <c r="F10" i="2"/>
  <c r="E6" i="1" a="1"/>
  <c r="E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<sst xmlns="http://schemas.openxmlformats.org/spreadsheetml/2006/main" count="105" uniqueCount="90">
  <si>
    <t>Write a formula to check if the marks in cell are greater than or equal to 40. If yes, return B2 "Fail" .</t>
  </si>
  <si>
    <t>Question 1</t>
  </si>
  <si>
    <t>Answer-1</t>
  </si>
  <si>
    <t>Student Name</t>
  </si>
  <si>
    <t>Marks</t>
  </si>
  <si>
    <t>Riya</t>
  </si>
  <si>
    <t>Siya</t>
  </si>
  <si>
    <t>Raju</t>
  </si>
  <si>
    <t>Rahul</t>
  </si>
  <si>
    <t>Ram</t>
  </si>
  <si>
    <t>Result</t>
  </si>
  <si>
    <t>A company gives a bonus  if sales are above 40,000 and attendance is greater than or equal to 90%. Write a formula to calculate whether the employee will get a bonus or not</t>
  </si>
  <si>
    <t>Question-2</t>
  </si>
  <si>
    <t>Answer-2</t>
  </si>
  <si>
    <t>Employee</t>
  </si>
  <si>
    <t>Sales</t>
  </si>
  <si>
    <t>Attendance</t>
  </si>
  <si>
    <t>Arjun</t>
  </si>
  <si>
    <t>Simran</t>
  </si>
  <si>
    <t>Rohit</t>
  </si>
  <si>
    <t>Anjali</t>
  </si>
  <si>
    <t xml:space="preserve">Sales </t>
  </si>
  <si>
    <t>attandence</t>
  </si>
  <si>
    <t xml:space="preserve">Bonus </t>
  </si>
  <si>
    <t>Write a nested IF formula</t>
  </si>
  <si>
    <t>Question -3</t>
  </si>
  <si>
    <t>Answer-3</t>
  </si>
  <si>
    <t>Raj</t>
  </si>
  <si>
    <t>Neha</t>
  </si>
  <si>
    <t>Vivek</t>
  </si>
  <si>
    <t>Rani</t>
  </si>
  <si>
    <t>Sneha</t>
  </si>
  <si>
    <t>Grade</t>
  </si>
  <si>
    <t>If marks in B2 are  ≥ 90 → "A", ≥ 75 → "B", ≥ 50 → "C", otherwise "Fail".</t>
  </si>
  <si>
    <t>Question-4</t>
  </si>
  <si>
    <t>Answer-4</t>
  </si>
  <si>
    <t>Find the Department of Employee ID = E103. Also explain which LOOKUP function is used and why ?</t>
  </si>
  <si>
    <t>Emp ID</t>
  </si>
  <si>
    <t>Name</t>
  </si>
  <si>
    <t>Department</t>
  </si>
  <si>
    <t>E101</t>
  </si>
  <si>
    <t>IT</t>
  </si>
  <si>
    <t>E102</t>
  </si>
  <si>
    <t>HR</t>
  </si>
  <si>
    <t>E103</t>
  </si>
  <si>
    <t>Roshini</t>
  </si>
  <si>
    <t>FINANCE</t>
  </si>
  <si>
    <t>E104</t>
  </si>
  <si>
    <t>Sejal</t>
  </si>
  <si>
    <t>SALES</t>
  </si>
  <si>
    <t xml:space="preserve">Employee Id </t>
  </si>
  <si>
    <t xml:space="preserve">Department </t>
  </si>
  <si>
    <t>Here we are using VLOOKUP  because the date were present in first cell  and  a vlookup always used top to bottom .</t>
  </si>
  <si>
    <t xml:space="preserve">We want to find a department for employe E103 Row , When We use "VLOOKUP" and give select the entire  full table as source it scans all the table and in formula </t>
  </si>
  <si>
    <t xml:space="preserve">we will be giving column index number as 3 so it goes through every thing in the 3 coulmn in the table and gives result </t>
  </si>
  <si>
    <t>as "Finance". And for "VLOOKUP" if we are giving input it should be in the first column only or else there will be error.</t>
  </si>
  <si>
    <t>A company has set the following commission structure for its sales team</t>
  </si>
  <si>
    <t>Question -5</t>
  </si>
  <si>
    <t>Answer-5</t>
  </si>
  <si>
    <t>If a salesperson achieves sales of ₹45,000, use the VLOOKUP function to determine the commission rate applicable.</t>
  </si>
  <si>
    <t>Sales Amount</t>
  </si>
  <si>
    <t>Commission Rate</t>
  </si>
  <si>
    <t>Sale</t>
  </si>
  <si>
    <t xml:space="preserve">Commission rate </t>
  </si>
  <si>
    <t>Here we should be using approximate match because we don’t have exact value here so it takes input and checks which criteria it belongs to and gives result.</t>
  </si>
  <si>
    <t>And the resullt of "%" value will be always given in decimals so we should change by using formating cell.</t>
  </si>
  <si>
    <t>Question -6</t>
  </si>
  <si>
    <t>The HR department maintains the following leave records of employees:onus or not</t>
  </si>
  <si>
    <t>Write an IF function to check whether an employee has Exceeded their allowed leave balance. If Leaves Taken &gt; Allowed Leaves, display "Exceeded". Otherwise, display "OK".</t>
  </si>
  <si>
    <t>Employee Name</t>
  </si>
  <si>
    <t>Leaves Taken</t>
  </si>
  <si>
    <t>Leaves Allowed</t>
  </si>
  <si>
    <t>Alex</t>
  </si>
  <si>
    <t>Bob</t>
  </si>
  <si>
    <t>Anna</t>
  </si>
  <si>
    <t>Leave Balance</t>
  </si>
  <si>
    <t>Find the salary of EmpID = E105 using INDEX-MATCH Function.</t>
  </si>
  <si>
    <t>Question-7</t>
  </si>
  <si>
    <t>EmpID</t>
  </si>
  <si>
    <t>Salary</t>
  </si>
  <si>
    <t>E105</t>
  </si>
  <si>
    <t>E106</t>
  </si>
  <si>
    <t>Use the XLOOKUP function to find the Department of the employee with Emp ID = E303</t>
  </si>
  <si>
    <t>Question-8</t>
  </si>
  <si>
    <t>Answer-8</t>
  </si>
  <si>
    <t>E303</t>
  </si>
  <si>
    <t>E301</t>
  </si>
  <si>
    <t>Finance</t>
  </si>
  <si>
    <t>EMP ID</t>
  </si>
  <si>
    <t>Departmnet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</si>
</sst>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3" fillId="0" borderId="0" xfId="0" applyFont="1"/>
    <xf numFmtId="0" fontId="4" fillId="0" borderId="0" xfId="0" applyFont="1"/>
    <xf numFmtId="0" fontId="0" fillId="2" borderId="1" xfId="0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4" borderId="0" xfId="0" applyFill="1"/>
    <xf numFmtId="0" fontId="6" fillId="5" borderId="1" xfId="0" applyFont="1" applyFill="1" applyBorder="1"/>
    <xf numFmtId="0" fontId="5" fillId="0" borderId="0" xfId="0" applyFont="1"/>
    <xf numFmtId="0" fontId="5" fillId="6" borderId="1" xfId="0" applyFont="1" applyFill="1" applyBorder="1"/>
    <xf numFmtId="0" fontId="5" fillId="6" borderId="0" xfId="0" applyFont="1" applyFill="1"/>
    <xf numFmtId="0" fontId="0" fillId="8" borderId="0" xfId="0" applyFill="1"/>
    <xf numFmtId="0" fontId="0" fillId="9" borderId="0" xfId="0" applyFill="1"/>
    <xf numFmtId="0" fontId="6" fillId="9" borderId="0" xfId="0" applyFont="1" applyFill="1"/>
    <xf numFmtId="0" fontId="7" fillId="10" borderId="0" xfId="0" applyFont="1" applyFill="1"/>
    <xf numFmtId="0" fontId="6" fillId="12" borderId="0" xfId="0" applyFont="1" applyFill="1"/>
    <xf numFmtId="0" fontId="2" fillId="0" borderId="0" xfId="0" applyFont="1"/>
    <xf numFmtId="0" fontId="5" fillId="11" borderId="0" xfId="0" applyFont="1" applyFill="1"/>
    <xf numFmtId="0" fontId="0" fillId="13" borderId="1" xfId="0" applyFill="1" applyBorder="1"/>
    <xf numFmtId="0" fontId="4" fillId="14" borderId="1" xfId="0" applyFont="1" applyFill="1" applyBorder="1"/>
    <xf numFmtId="0" fontId="4" fillId="14" borderId="0" xfId="0" applyFont="1" applyFill="1"/>
    <xf numFmtId="0" fontId="0" fillId="13" borderId="2" xfId="0" applyFill="1" applyBorder="1"/>
    <xf numFmtId="0" fontId="5" fillId="11" borderId="0" xfId="0" applyFont="1" applyFill="1" applyAlignment="1">
      <alignment horizontal="center"/>
    </xf>
    <xf numFmtId="0" fontId="2" fillId="9" borderId="1" xfId="0" applyFont="1" applyFill="1" applyBorder="1"/>
    <xf numFmtId="0" fontId="0" fillId="9" borderId="1" xfId="0" applyFill="1" applyBorder="1"/>
    <xf numFmtId="0" fontId="5" fillId="12" borderId="0" xfId="0" applyFont="1" applyFill="1"/>
    <xf numFmtId="0" fontId="5" fillId="15" borderId="0" xfId="0" applyFont="1" applyFill="1"/>
    <xf numFmtId="0" fontId="0" fillId="0" borderId="1" xfId="0" applyBorder="1"/>
    <xf numFmtId="0" fontId="0" fillId="16" borderId="1" xfId="0" applyFill="1" applyBorder="1"/>
    <xf numFmtId="0" fontId="2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9" fontId="0" fillId="4" borderId="1" xfId="0" applyNumberFormat="1" applyFill="1" applyBorder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/>
    </xf>
    <xf numFmtId="9" fontId="0" fillId="11" borderId="0" xfId="1" applyFont="1" applyFill="1" applyAlignment="1">
      <alignment horizontal="center"/>
    </xf>
    <xf numFmtId="0" fontId="2" fillId="0" borderId="0" xfId="0" applyFont="1" applyAlignment="1">
      <alignment horizontal="center"/>
    </xf>
    <xf numFmtId="0" fontId="5" fillId="7" borderId="0" xfId="0" applyFont="1" applyFill="1"/>
    <xf numFmtId="0" fontId="4" fillId="17" borderId="0" xfId="0" applyFont="1" applyFill="1"/>
    <xf numFmtId="0" fontId="4" fillId="7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97B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51070-CDE6-4270-973B-93F2AB8F8919}">
  <dimension ref="A3:I14"/>
  <sheetViews>
    <sheetView workbookViewId="0">
      <selection activeCell="G20" sqref="G20"/>
    </sheetView>
  </sheetViews>
  <sheetFormatPr defaultRowHeight="14.4" x14ac:dyDescent="0.3"/>
  <cols>
    <col min="2" max="2" width="14.44140625" customWidth="1"/>
    <col min="3" max="3" width="17.6640625" customWidth="1"/>
  </cols>
  <sheetData>
    <row r="3" spans="1:9" ht="15.6" x14ac:dyDescent="0.3">
      <c r="A3" t="s">
        <v>1</v>
      </c>
      <c r="C3" s="2" t="s">
        <v>0</v>
      </c>
    </row>
    <row r="5" spans="1:9" ht="18" x14ac:dyDescent="0.35">
      <c r="A5" t="s">
        <v>2</v>
      </c>
      <c r="C5" s="9" t="s">
        <v>3</v>
      </c>
      <c r="D5" s="9" t="s">
        <v>4</v>
      </c>
      <c r="E5" s="10" t="s">
        <v>10</v>
      </c>
    </row>
    <row r="6" spans="1:9" ht="23.4" x14ac:dyDescent="0.45">
      <c r="C6" s="7" t="s">
        <v>5</v>
      </c>
      <c r="D6" s="7">
        <v>45</v>
      </c>
      <c r="E6" s="15" t="str" cm="1">
        <f t="array" ref="E6:E10">IF($D$6:$D$10&gt;I6,"pass","fail")</f>
        <v>pass</v>
      </c>
      <c r="I6" s="14">
        <v>40</v>
      </c>
    </row>
    <row r="7" spans="1:9" ht="18" x14ac:dyDescent="0.35">
      <c r="C7" s="7" t="s">
        <v>6</v>
      </c>
      <c r="D7" s="7">
        <v>72</v>
      </c>
      <c r="E7" s="15" t="str">
        <v>pass</v>
      </c>
    </row>
    <row r="8" spans="1:9" ht="18" x14ac:dyDescent="0.35">
      <c r="C8" s="7" t="s">
        <v>7</v>
      </c>
      <c r="D8" s="7">
        <v>55</v>
      </c>
      <c r="E8" s="15" t="str">
        <v>pass</v>
      </c>
    </row>
    <row r="9" spans="1:9" ht="18" x14ac:dyDescent="0.35">
      <c r="C9" s="7" t="s">
        <v>8</v>
      </c>
      <c r="D9" s="7">
        <v>80</v>
      </c>
      <c r="E9" s="15" t="str">
        <v>pass</v>
      </c>
    </row>
    <row r="10" spans="1:9" ht="18" x14ac:dyDescent="0.35">
      <c r="C10" s="7" t="s">
        <v>9</v>
      </c>
      <c r="D10" s="7">
        <v>30</v>
      </c>
      <c r="E10" s="15" t="str">
        <v>fail</v>
      </c>
      <c r="G10" s="11"/>
    </row>
    <row r="14" spans="1:9" x14ac:dyDescent="0.3">
      <c r="I1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863D1-80A4-4BE2-932A-1B59419AE85A}">
  <dimension ref="A3:M11"/>
  <sheetViews>
    <sheetView workbookViewId="0">
      <selection activeCell="F7" sqref="F7"/>
    </sheetView>
  </sheetViews>
  <sheetFormatPr defaultRowHeight="14.4" x14ac:dyDescent="0.3"/>
  <cols>
    <col min="3" max="3" width="16.33203125" customWidth="1"/>
    <col min="5" max="5" width="11.88671875" customWidth="1"/>
    <col min="6" max="6" width="14.21875" customWidth="1"/>
    <col min="12" max="12" width="12.5546875" customWidth="1"/>
  </cols>
  <sheetData>
    <row r="3" spans="1:13" ht="18" x14ac:dyDescent="0.35">
      <c r="A3" s="16" t="s">
        <v>12</v>
      </c>
      <c r="C3" s="8" t="s">
        <v>11</v>
      </c>
    </row>
    <row r="6" spans="1:13" x14ac:dyDescent="0.3">
      <c r="A6" t="s">
        <v>13</v>
      </c>
      <c r="C6" s="4" t="s">
        <v>14</v>
      </c>
      <c r="D6" s="4" t="s">
        <v>15</v>
      </c>
      <c r="E6" s="4" t="s">
        <v>16</v>
      </c>
      <c r="F6" s="5" t="s">
        <v>23</v>
      </c>
      <c r="L6" t="s">
        <v>21</v>
      </c>
      <c r="M6">
        <v>40000</v>
      </c>
    </row>
    <row r="7" spans="1:13" ht="18" x14ac:dyDescent="0.35">
      <c r="C7" s="3" t="s">
        <v>17</v>
      </c>
      <c r="D7" s="3">
        <v>55000</v>
      </c>
      <c r="E7" s="3">
        <v>95</v>
      </c>
      <c r="F7" s="17" t="str">
        <f>IF(AND($D7&gt;40000,$E7&gt;90),"Eligible","Not Eligible")</f>
        <v>Eligible</v>
      </c>
      <c r="L7" t="s">
        <v>22</v>
      </c>
      <c r="M7">
        <v>90</v>
      </c>
    </row>
    <row r="8" spans="1:13" ht="18" x14ac:dyDescent="0.35">
      <c r="C8" s="3" t="s">
        <v>18</v>
      </c>
      <c r="D8" s="3">
        <v>65000</v>
      </c>
      <c r="E8" s="3">
        <v>85</v>
      </c>
      <c r="F8" s="17" t="str">
        <f t="shared" ref="F8:F10" si="0">IF(AND($D8&gt;40000,$E8&gt;90),"Eligible","Not Eligible")</f>
        <v>Not Eligible</v>
      </c>
    </row>
    <row r="9" spans="1:13" ht="18" x14ac:dyDescent="0.35">
      <c r="C9" s="3" t="s">
        <v>19</v>
      </c>
      <c r="D9" s="3">
        <v>30000</v>
      </c>
      <c r="E9" s="3">
        <v>90</v>
      </c>
      <c r="F9" s="17" t="str">
        <f t="shared" si="0"/>
        <v>Not Eligible</v>
      </c>
    </row>
    <row r="10" spans="1:13" ht="18" x14ac:dyDescent="0.35">
      <c r="C10" s="3" t="s">
        <v>20</v>
      </c>
      <c r="D10" s="3">
        <v>25000</v>
      </c>
      <c r="E10" s="3">
        <v>65</v>
      </c>
      <c r="F10" s="17" t="str">
        <f t="shared" si="0"/>
        <v>Not Eligible</v>
      </c>
    </row>
    <row r="11" spans="1:13" ht="18" x14ac:dyDescent="0.35">
      <c r="F1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DD12-FD59-467D-869A-069CF7E9054F}">
  <dimension ref="A4:E14"/>
  <sheetViews>
    <sheetView workbookViewId="0">
      <selection activeCell="I13" sqref="I13"/>
    </sheetView>
  </sheetViews>
  <sheetFormatPr defaultRowHeight="14.4" x14ac:dyDescent="0.3"/>
  <cols>
    <col min="2" max="2" width="11.5546875" customWidth="1"/>
    <col min="3" max="3" width="16.21875" customWidth="1"/>
    <col min="5" max="5" width="10.6640625" customWidth="1"/>
  </cols>
  <sheetData>
    <row r="4" spans="1:5" x14ac:dyDescent="0.3">
      <c r="A4" t="s">
        <v>25</v>
      </c>
      <c r="C4" t="s">
        <v>24</v>
      </c>
    </row>
    <row r="6" spans="1:5" x14ac:dyDescent="0.3">
      <c r="C6" t="s">
        <v>33</v>
      </c>
    </row>
    <row r="8" spans="1:5" ht="15.6" x14ac:dyDescent="0.3">
      <c r="A8" t="s">
        <v>26</v>
      </c>
      <c r="C8" s="19" t="s">
        <v>3</v>
      </c>
      <c r="D8" s="19" t="s">
        <v>4</v>
      </c>
      <c r="E8" s="20" t="s">
        <v>32</v>
      </c>
    </row>
    <row r="9" spans="1:5" ht="18" x14ac:dyDescent="0.35">
      <c r="C9" s="18" t="s">
        <v>27</v>
      </c>
      <c r="D9" s="18">
        <v>85</v>
      </c>
      <c r="E9" s="22" t="str">
        <f>IF($D9&gt;=90,"A",IF($D9&gt;=75,"B",IF($D9&gt;50,"C","fail")))</f>
        <v>B</v>
      </c>
    </row>
    <row r="10" spans="1:5" ht="18" x14ac:dyDescent="0.35">
      <c r="C10" s="18" t="s">
        <v>28</v>
      </c>
      <c r="D10" s="18">
        <v>96</v>
      </c>
      <c r="E10" s="22" t="str">
        <f t="shared" ref="E10:E14" si="0">IF($D10&gt;=90,"A",IF($D10&gt;=75,"B",IF($D10&gt;50,"C","fail")))</f>
        <v>A</v>
      </c>
    </row>
    <row r="11" spans="1:5" ht="18" x14ac:dyDescent="0.35">
      <c r="C11" s="18" t="s">
        <v>29</v>
      </c>
      <c r="D11" s="18">
        <v>57</v>
      </c>
      <c r="E11" s="22" t="str">
        <f t="shared" si="0"/>
        <v>C</v>
      </c>
    </row>
    <row r="12" spans="1:5" ht="18" x14ac:dyDescent="0.35">
      <c r="C12" s="18" t="s">
        <v>30</v>
      </c>
      <c r="D12" s="18">
        <v>92</v>
      </c>
      <c r="E12" s="22" t="str">
        <f t="shared" si="0"/>
        <v>A</v>
      </c>
    </row>
    <row r="13" spans="1:5" ht="18" x14ac:dyDescent="0.35">
      <c r="C13" s="18" t="s">
        <v>31</v>
      </c>
      <c r="D13" s="18">
        <v>75</v>
      </c>
      <c r="E13" s="22" t="str">
        <f t="shared" si="0"/>
        <v>B</v>
      </c>
    </row>
    <row r="14" spans="1:5" ht="18" x14ac:dyDescent="0.35">
      <c r="D14" s="21"/>
      <c r="E14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9998-D14E-4F22-82B6-10B32F937FC1}">
  <dimension ref="A4:O21"/>
  <sheetViews>
    <sheetView topLeftCell="A4" workbookViewId="0">
      <selection activeCell="L22" sqref="L22"/>
    </sheetView>
  </sheetViews>
  <sheetFormatPr defaultRowHeight="14.4" x14ac:dyDescent="0.3"/>
  <cols>
    <col min="3" max="3" width="11.5546875" customWidth="1"/>
    <col min="5" max="5" width="14" customWidth="1"/>
    <col min="9" max="9" width="13.6640625" customWidth="1"/>
    <col min="10" max="10" width="17.77734375" customWidth="1"/>
  </cols>
  <sheetData>
    <row r="4" spans="1:15" ht="18" x14ac:dyDescent="0.35">
      <c r="A4" t="s">
        <v>34</v>
      </c>
      <c r="C4" s="8" t="s">
        <v>36</v>
      </c>
    </row>
    <row r="7" spans="1:15" ht="18" x14ac:dyDescent="0.35">
      <c r="A7" t="s">
        <v>35</v>
      </c>
      <c r="C7" s="23" t="s">
        <v>37</v>
      </c>
      <c r="D7" s="23" t="s">
        <v>38</v>
      </c>
      <c r="E7" s="23" t="s">
        <v>39</v>
      </c>
      <c r="I7" s="26" t="s">
        <v>50</v>
      </c>
      <c r="J7" s="26" t="s">
        <v>51</v>
      </c>
    </row>
    <row r="8" spans="1:15" x14ac:dyDescent="0.3">
      <c r="C8" s="24" t="s">
        <v>40</v>
      </c>
      <c r="D8" s="24" t="s">
        <v>7</v>
      </c>
      <c r="E8" s="24" t="s">
        <v>41</v>
      </c>
    </row>
    <row r="9" spans="1:15" ht="18" x14ac:dyDescent="0.35">
      <c r="C9" s="24" t="s">
        <v>42</v>
      </c>
      <c r="D9" s="24" t="s">
        <v>5</v>
      </c>
      <c r="E9" s="24" t="s">
        <v>43</v>
      </c>
      <c r="I9" s="13" t="s">
        <v>44</v>
      </c>
      <c r="J9" s="25" t="str">
        <f>VLOOKUP($I9,$C$7:$E$11,3,FALSE)</f>
        <v>FINANCE</v>
      </c>
    </row>
    <row r="10" spans="1:15" x14ac:dyDescent="0.3">
      <c r="C10" s="24" t="s">
        <v>44</v>
      </c>
      <c r="D10" s="24" t="s">
        <v>45</v>
      </c>
      <c r="E10" s="24" t="s">
        <v>46</v>
      </c>
    </row>
    <row r="11" spans="1:15" x14ac:dyDescent="0.3">
      <c r="C11" s="24" t="s">
        <v>47</v>
      </c>
      <c r="D11" s="24" t="s">
        <v>48</v>
      </c>
      <c r="E11" s="24" t="s">
        <v>49</v>
      </c>
    </row>
    <row r="14" spans="1:15" x14ac:dyDescent="0.3">
      <c r="A14" s="28"/>
      <c r="B14" s="28" t="s">
        <v>52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</row>
    <row r="15" spans="1:15" x14ac:dyDescent="0.3">
      <c r="A15" s="28"/>
      <c r="B15" s="28" t="s">
        <v>53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</row>
    <row r="16" spans="1:15" x14ac:dyDescent="0.3">
      <c r="A16" s="28"/>
      <c r="B16" s="28" t="s">
        <v>54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x14ac:dyDescent="0.3">
      <c r="A17" s="28"/>
      <c r="B17" s="28" t="s">
        <v>55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21" spans="1:15" x14ac:dyDescent="0.3">
      <c r="B2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3F0C-DC57-41E2-A08A-624688C03C54}">
  <dimension ref="A4:G14"/>
  <sheetViews>
    <sheetView workbookViewId="0">
      <selection activeCell="F13" sqref="F13"/>
    </sheetView>
  </sheetViews>
  <sheetFormatPr defaultRowHeight="14.4" x14ac:dyDescent="0.3"/>
  <cols>
    <col min="3" max="3" width="13.88671875" customWidth="1"/>
    <col min="4" max="4" width="18.21875" customWidth="1"/>
    <col min="7" max="7" width="16.77734375" customWidth="1"/>
  </cols>
  <sheetData>
    <row r="4" spans="1:7" ht="18" x14ac:dyDescent="0.35">
      <c r="A4" t="s">
        <v>57</v>
      </c>
      <c r="C4" s="8" t="s">
        <v>56</v>
      </c>
    </row>
    <row r="6" spans="1:7" ht="15.6" x14ac:dyDescent="0.3">
      <c r="C6" s="1" t="s">
        <v>59</v>
      </c>
    </row>
    <row r="7" spans="1:7" x14ac:dyDescent="0.3">
      <c r="A7" t="s">
        <v>58</v>
      </c>
    </row>
    <row r="8" spans="1:7" x14ac:dyDescent="0.3">
      <c r="C8" s="29" t="s">
        <v>60</v>
      </c>
      <c r="D8" s="29" t="s">
        <v>61</v>
      </c>
    </row>
    <row r="9" spans="1:7" x14ac:dyDescent="0.3">
      <c r="C9" s="30">
        <v>0</v>
      </c>
      <c r="D9" s="31">
        <v>0.05</v>
      </c>
      <c r="F9" s="32" t="s">
        <v>62</v>
      </c>
      <c r="G9" s="32" t="s">
        <v>63</v>
      </c>
    </row>
    <row r="10" spans="1:7" x14ac:dyDescent="0.3">
      <c r="C10" s="30">
        <v>20000</v>
      </c>
      <c r="D10" s="31">
        <v>0.1</v>
      </c>
      <c r="F10" s="33">
        <v>45000</v>
      </c>
      <c r="G10" s="34">
        <f>VLOOKUP($F10,$C$8:$D$12,2,TRUE)</f>
        <v>0.1</v>
      </c>
    </row>
    <row r="11" spans="1:7" x14ac:dyDescent="0.3">
      <c r="C11" s="30">
        <v>50000</v>
      </c>
      <c r="D11" s="31">
        <v>0.15</v>
      </c>
    </row>
    <row r="12" spans="1:7" x14ac:dyDescent="0.3">
      <c r="C12" s="30">
        <v>80000</v>
      </c>
      <c r="D12" s="31">
        <v>0.2</v>
      </c>
    </row>
    <row r="13" spans="1:7" x14ac:dyDescent="0.3">
      <c r="F13" t="s">
        <v>64</v>
      </c>
    </row>
    <row r="14" spans="1:7" x14ac:dyDescent="0.3">
      <c r="F14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2DBF3-3CBB-4761-A050-8C4133B56D2A}">
  <dimension ref="A2:F11"/>
  <sheetViews>
    <sheetView workbookViewId="0">
      <selection activeCell="F9" sqref="F9:F11"/>
    </sheetView>
  </sheetViews>
  <sheetFormatPr defaultRowHeight="14.4" x14ac:dyDescent="0.3"/>
  <cols>
    <col min="3" max="3" width="17.6640625" customWidth="1"/>
    <col min="4" max="4" width="12.88671875" customWidth="1"/>
    <col min="5" max="5" width="16.88671875" customWidth="1"/>
    <col min="6" max="6" width="13.6640625" customWidth="1"/>
  </cols>
  <sheetData>
    <row r="2" spans="1:6" x14ac:dyDescent="0.3">
      <c r="A2" t="s">
        <v>66</v>
      </c>
    </row>
    <row r="3" spans="1:6" ht="18" x14ac:dyDescent="0.35">
      <c r="C3" s="8" t="s">
        <v>67</v>
      </c>
    </row>
    <row r="5" spans="1:6" ht="15.6" x14ac:dyDescent="0.3">
      <c r="C5" s="2" t="s">
        <v>68</v>
      </c>
    </row>
    <row r="8" spans="1:6" x14ac:dyDescent="0.3">
      <c r="C8" s="29" t="s">
        <v>69</v>
      </c>
      <c r="D8" s="29" t="s">
        <v>70</v>
      </c>
      <c r="E8" s="29" t="s">
        <v>71</v>
      </c>
      <c r="F8" s="29" t="s">
        <v>75</v>
      </c>
    </row>
    <row r="9" spans="1:6" x14ac:dyDescent="0.3">
      <c r="C9" s="30" t="s">
        <v>72</v>
      </c>
      <c r="D9" s="30">
        <v>10</v>
      </c>
      <c r="E9" s="30">
        <v>12</v>
      </c>
      <c r="F9" s="27" t="str">
        <f>IF($D9&lt;$E9,"ok","Exceeded")</f>
        <v>ok</v>
      </c>
    </row>
    <row r="10" spans="1:6" x14ac:dyDescent="0.3">
      <c r="C10" s="30" t="s">
        <v>73</v>
      </c>
      <c r="D10" s="30">
        <v>10</v>
      </c>
      <c r="E10" s="30">
        <v>15</v>
      </c>
      <c r="F10" s="27" t="str">
        <f t="shared" ref="F10:F11" si="0">IF($D10&lt;$E10,"ok","Exceeded")</f>
        <v>ok</v>
      </c>
    </row>
    <row r="11" spans="1:6" x14ac:dyDescent="0.3">
      <c r="C11" s="30" t="s">
        <v>74</v>
      </c>
      <c r="D11" s="30">
        <v>8</v>
      </c>
      <c r="E11" s="30">
        <v>12</v>
      </c>
      <c r="F11" s="27" t="str">
        <f t="shared" si="0"/>
        <v>ok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49992-3786-4035-9A7E-30918A9D6018}">
  <dimension ref="A3:G10"/>
  <sheetViews>
    <sheetView workbookViewId="0">
      <selection activeCell="J11" sqref="J11"/>
    </sheetView>
  </sheetViews>
  <sheetFormatPr defaultRowHeight="14.4" x14ac:dyDescent="0.3"/>
  <cols>
    <col min="1" max="1" width="15.5546875" customWidth="1"/>
    <col min="2" max="3" width="3.77734375" customWidth="1"/>
    <col min="4" max="4" width="12.21875" customWidth="1"/>
    <col min="5" max="5" width="14.109375" customWidth="1"/>
  </cols>
  <sheetData>
    <row r="3" spans="1:7" ht="18" x14ac:dyDescent="0.35">
      <c r="A3" s="35" t="s">
        <v>77</v>
      </c>
      <c r="D3" s="8" t="s">
        <v>76</v>
      </c>
    </row>
    <row r="6" spans="1:7" x14ac:dyDescent="0.3">
      <c r="D6" s="29" t="s">
        <v>78</v>
      </c>
      <c r="E6" s="29" t="s">
        <v>79</v>
      </c>
    </row>
    <row r="7" spans="1:7" ht="18" x14ac:dyDescent="0.35">
      <c r="D7" s="30" t="s">
        <v>47</v>
      </c>
      <c r="E7" s="30">
        <v>55000</v>
      </c>
      <c r="G7" s="36" cm="1">
        <f t="array" ref="G7">INDEX($D$6:$E$10,"3","2")</f>
        <v>72000</v>
      </c>
    </row>
    <row r="8" spans="1:7" x14ac:dyDescent="0.3">
      <c r="D8" s="30" t="s">
        <v>80</v>
      </c>
      <c r="E8" s="30">
        <v>72000</v>
      </c>
    </row>
    <row r="9" spans="1:7" x14ac:dyDescent="0.3">
      <c r="D9" s="30" t="s">
        <v>81</v>
      </c>
      <c r="E9" s="30">
        <v>62000</v>
      </c>
    </row>
    <row r="10" spans="1:7" x14ac:dyDescent="0.3">
      <c r="D10" s="30" t="s">
        <v>42</v>
      </c>
      <c r="E10" s="30">
        <v>41000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9778C-8209-4600-8ED3-4706BE6C0A6D}">
  <dimension ref="A3:H10"/>
  <sheetViews>
    <sheetView tabSelected="1" workbookViewId="0">
      <selection activeCell="H11" sqref="H11"/>
    </sheetView>
  </sheetViews>
  <sheetFormatPr defaultRowHeight="14.4" x14ac:dyDescent="0.3"/>
  <cols>
    <col min="3" max="3" width="11.44140625" customWidth="1"/>
    <col min="4" max="4" width="14.88671875" customWidth="1"/>
    <col min="8" max="8" width="12.88671875" customWidth="1"/>
  </cols>
  <sheetData>
    <row r="3" spans="1:8" x14ac:dyDescent="0.3">
      <c r="A3" t="s">
        <v>83</v>
      </c>
      <c r="C3" t="s">
        <v>82</v>
      </c>
    </row>
    <row r="6" spans="1:8" ht="15.6" x14ac:dyDescent="0.3">
      <c r="A6" t="s">
        <v>84</v>
      </c>
      <c r="C6" s="29" t="s">
        <v>78</v>
      </c>
      <c r="D6" s="29" t="s">
        <v>39</v>
      </c>
      <c r="G6" s="37" t="s">
        <v>88</v>
      </c>
      <c r="H6" s="37" t="s">
        <v>89</v>
      </c>
    </row>
    <row r="7" spans="1:8" x14ac:dyDescent="0.3">
      <c r="C7" s="30" t="s">
        <v>40</v>
      </c>
      <c r="D7" s="30" t="s">
        <v>43</v>
      </c>
    </row>
    <row r="8" spans="1:8" ht="15.6" x14ac:dyDescent="0.3">
      <c r="C8" s="30" t="s">
        <v>85</v>
      </c>
      <c r="D8" s="30" t="s">
        <v>41</v>
      </c>
      <c r="G8" t="s">
        <v>85</v>
      </c>
      <c r="H8" s="38" t="str">
        <f>_xlfn.XLOOKUP($G8,$C$7:$C$10,$D$7:$D$10)</f>
        <v>IT</v>
      </c>
    </row>
    <row r="9" spans="1:8" x14ac:dyDescent="0.3">
      <c r="C9" s="30" t="s">
        <v>81</v>
      </c>
      <c r="D9" s="30" t="s">
        <v>15</v>
      </c>
    </row>
    <row r="10" spans="1:8" x14ac:dyDescent="0.3">
      <c r="C10" s="30" t="s">
        <v>86</v>
      </c>
      <c r="D10" s="30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Answer-1</vt:lpstr>
      <vt:lpstr>Answer-2</vt:lpstr>
      <vt:lpstr>Answer-3</vt:lpstr>
      <vt:lpstr>Answer-4</vt:lpstr>
      <vt:lpstr>Answer-5</vt:lpstr>
      <vt:lpstr>Answer-6</vt:lpstr>
      <vt:lpstr>Answer-7</vt:lpstr>
      <vt:lpstr>Amswer-8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suryaprakash singh</dc:creator>
  <cp:lastModifiedBy>suryaprakash singh</cp:lastModifiedBy>
  <dcterms:created xsi:type="dcterms:W3CDTF">2025-12-21T01:44:00Z</dcterms:created>
  <dcterms:modified xsi:type="dcterms:W3CDTF">2025-12-21T06:52:22Z</dcterms:modified>
</cp:coreProperties>
</file>